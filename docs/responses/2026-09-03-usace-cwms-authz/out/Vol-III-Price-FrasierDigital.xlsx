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 Summary" sheetId="1" state="visible" r:id="rId1"/>
    <sheet xmlns:r="http://schemas.openxmlformats.org/officeDocument/2006/relationships" name="Labor Rates" sheetId="2" state="visible" r:id="rId2"/>
    <sheet xmlns:r="http://schemas.openxmlformats.org/officeDocument/2006/relationships" name="Hours by Ta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3" fontId="3" fillId="2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0" customWidth="1" min="3" max="3"/>
    <col width="6" customWidth="1" min="4" max="4"/>
    <col width="6" customWidth="1" min="5" max="5"/>
    <col width="14" customWidth="1" min="6" max="6"/>
  </cols>
  <sheetData>
    <row r="1">
      <c r="A1" s="1" t="inlineStr">
        <is>
          <t>Frasier Digital, LLC — Price Proposal (Volume III, Factor 4)</t>
        </is>
      </c>
    </row>
    <row r="2">
      <c r="A2" s="2" t="inlineStr">
        <is>
          <t>Solicitation PANHEC-26-P-0000-026407 — CWMS Database Authorization Maintenance and Improvements</t>
        </is>
      </c>
    </row>
    <row r="3">
      <c r="A3" s="2" t="inlineStr">
        <is>
          <t>Firm-Fixed-Price per task CLIN · Period of performance 360 days from award · Options per RFO 52.217-7</t>
        </is>
      </c>
    </row>
    <row r="5">
      <c r="A5" s="3" t="inlineStr">
        <is>
          <t>CLIN</t>
        </is>
      </c>
      <c r="B5" s="3" t="inlineStr">
        <is>
          <t>Task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Price</t>
        </is>
      </c>
    </row>
    <row r="6">
      <c r="A6" s="4" t="inlineStr">
        <is>
          <t>1001</t>
        </is>
      </c>
      <c r="B6" s="4" t="inlineStr">
        <is>
          <t>Task 1a</t>
        </is>
      </c>
      <c r="C6" s="4" t="inlineStr">
        <is>
          <t>Development meetings (26)</t>
        </is>
      </c>
      <c r="D6" s="4" t="n">
        <v>1</v>
      </c>
      <c r="E6" s="4" t="inlineStr">
        <is>
          <t>Job</t>
        </is>
      </c>
      <c r="F6" s="5">
        <f>'Hours by Task'!L4</f>
        <v/>
      </c>
    </row>
    <row r="7">
      <c r="A7" s="4" t="inlineStr">
        <is>
          <t>2001</t>
        </is>
      </c>
      <c r="B7" s="4" t="inlineStr">
        <is>
          <t>Task 2</t>
        </is>
      </c>
      <c r="C7" s="4" t="inlineStr">
        <is>
          <t>Improve authorization web UI and CDA integration</t>
        </is>
      </c>
      <c r="D7" s="4" t="n">
        <v>1</v>
      </c>
      <c r="E7" s="4" t="inlineStr">
        <is>
          <t>Job</t>
        </is>
      </c>
      <c r="F7" s="5">
        <f>'Hours by Task'!L5</f>
        <v/>
      </c>
    </row>
    <row r="8">
      <c r="A8" s="4" t="inlineStr">
        <is>
          <t>3001</t>
        </is>
      </c>
      <c r="B8" s="4" t="inlineStr">
        <is>
          <t>Task 3a</t>
        </is>
      </c>
      <c r="C8" s="4" t="inlineStr">
        <is>
          <t>Implement authorization in CWBI-Dev</t>
        </is>
      </c>
      <c r="D8" s="4" t="n">
        <v>1</v>
      </c>
      <c r="E8" s="4" t="inlineStr">
        <is>
          <t>Job</t>
        </is>
      </c>
      <c r="F8" s="5">
        <f>'Hours by Task'!L6</f>
        <v/>
      </c>
    </row>
    <row r="9">
      <c r="A9" s="4" t="inlineStr">
        <is>
          <t>5001</t>
        </is>
      </c>
      <c r="B9" s="4" t="inlineStr">
        <is>
          <t>Task 5a</t>
        </is>
      </c>
      <c r="C9" s="4" t="inlineStr">
        <is>
          <t>Maintenance (≤803 h)</t>
        </is>
      </c>
      <c r="D9" s="4" t="n">
        <v>1</v>
      </c>
      <c r="E9" s="4" t="inlineStr">
        <is>
          <t>Job</t>
        </is>
      </c>
      <c r="F9" s="5">
        <f>'Hours by Task'!L7</f>
        <v/>
      </c>
    </row>
    <row r="10">
      <c r="A10" s="4" t="inlineStr">
        <is>
          <t>1002</t>
        </is>
      </c>
      <c r="B10" s="4" t="inlineStr">
        <is>
          <t>Task 1b</t>
        </is>
      </c>
      <c r="C10" s="4" t="inlineStr">
        <is>
          <t>Development meetings, additional 26 (option)</t>
        </is>
      </c>
      <c r="D10" s="4" t="n">
        <v>1</v>
      </c>
      <c r="E10" s="4" t="inlineStr">
        <is>
          <t>Job</t>
        </is>
      </c>
      <c r="F10" s="5">
        <f>'Hours by Task'!L8</f>
        <v/>
      </c>
    </row>
    <row r="11">
      <c r="A11" s="4" t="inlineStr">
        <is>
          <t>3002</t>
        </is>
      </c>
      <c r="B11" s="4" t="inlineStr">
        <is>
          <t>Task 3b</t>
        </is>
      </c>
      <c r="C11" s="4" t="inlineStr">
        <is>
          <t>Implement authorization in CWBI-Test (option)</t>
        </is>
      </c>
      <c r="D11" s="4" t="n">
        <v>1</v>
      </c>
      <c r="E11" s="4" t="inlineStr">
        <is>
          <t>Job</t>
        </is>
      </c>
      <c r="F11" s="5">
        <f>'Hours by Task'!L9</f>
        <v/>
      </c>
    </row>
    <row r="12">
      <c r="A12" s="4" t="inlineStr">
        <is>
          <t>4001</t>
        </is>
      </c>
      <c r="B12" s="4" t="inlineStr">
        <is>
          <t>Task 4</t>
        </is>
      </c>
      <c r="C12" s="4" t="inlineStr">
        <is>
          <t>Load testing (option)</t>
        </is>
      </c>
      <c r="D12" s="4" t="n">
        <v>1</v>
      </c>
      <c r="E12" s="4" t="inlineStr">
        <is>
          <t>Job</t>
        </is>
      </c>
      <c r="F12" s="5">
        <f>'Hours by Task'!L10</f>
        <v/>
      </c>
    </row>
    <row r="13">
      <c r="A13" s="4" t="inlineStr">
        <is>
          <t>5002</t>
        </is>
      </c>
      <c r="B13" s="4" t="inlineStr">
        <is>
          <t>Task 5b</t>
        </is>
      </c>
      <c r="C13" s="4" t="inlineStr">
        <is>
          <t>Maintenance (≤704 h) (option)</t>
        </is>
      </c>
      <c r="D13" s="4" t="n">
        <v>1</v>
      </c>
      <c r="E13" s="4" t="inlineStr">
        <is>
          <t>Job</t>
        </is>
      </c>
      <c r="F13" s="5">
        <f>'Hours by Task'!L11</f>
        <v/>
      </c>
    </row>
    <row r="14">
      <c r="A14" s="3" t="n"/>
      <c r="B14" s="3" t="n"/>
      <c r="C14" s="3" t="inlineStr">
        <is>
          <t>Base tasks subtotal (CLINs 1001, 2001, 3001, 5001)</t>
        </is>
      </c>
      <c r="D14" s="3" t="n"/>
      <c r="E14" s="3" t="n"/>
      <c r="F14" s="6">
        <f>F6+F7+F8+F9</f>
        <v/>
      </c>
    </row>
    <row r="15">
      <c r="A15" s="3" t="n"/>
      <c r="B15" s="3" t="n"/>
      <c r="C15" s="3" t="inlineStr">
        <is>
          <t>Option tasks subtotal (CLINs 1002, 3002, 4001, 5002)</t>
        </is>
      </c>
      <c r="D15" s="3" t="n"/>
      <c r="E15" s="3" t="n"/>
      <c r="F15" s="6">
        <f>F10+F11+F12+F13</f>
        <v/>
      </c>
    </row>
    <row r="16">
      <c r="A16" s="3" t="n"/>
      <c r="B16" s="3" t="n"/>
      <c r="C16" s="3" t="inlineStr">
        <is>
          <t>GRAND TOTAL — base and all options</t>
        </is>
      </c>
      <c r="D16" s="3" t="n"/>
      <c r="E16" s="3" t="n"/>
      <c r="F16" s="6">
        <f>F14+F15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24" customWidth="1" min="4" max="4"/>
  </cols>
  <sheetData>
    <row r="1">
      <c r="A1" s="1" t="inlineStr">
        <is>
          <t>Frasier Digital, LLC — Fully Burdened Labor Rates</t>
        </is>
      </c>
    </row>
    <row r="2">
      <c r="A2" s="2" t="inlineStr">
        <is>
          <t>Solicitation PANHEC-26-P-0000-026407 — CWMS Database Authorization Maintenance and Improvements</t>
        </is>
      </c>
    </row>
    <row r="4">
      <c r="A4" s="3" t="inlineStr">
        <is>
          <t>Person</t>
        </is>
      </c>
      <c r="B4" s="3" t="inlineStr">
        <is>
          <t>Labor category</t>
        </is>
      </c>
      <c r="C4" s="3" t="inlineStr">
        <is>
          <t>Key personnel</t>
        </is>
      </c>
      <c r="D4" s="3" t="inlineStr">
        <is>
          <t>Fully burdened rate ($/hr)</t>
        </is>
      </c>
    </row>
    <row r="5">
      <c r="A5" s="4" t="inlineStr">
        <is>
          <t>J. Frasier</t>
        </is>
      </c>
      <c r="B5" s="4" t="inlineStr">
        <is>
          <t>Project Manager</t>
        </is>
      </c>
      <c r="C5" s="4" t="inlineStr">
        <is>
          <t>Yes</t>
        </is>
      </c>
      <c r="D5" s="7" t="n">
        <v>165</v>
      </c>
    </row>
    <row r="6">
      <c r="A6" s="4" t="inlineStr">
        <is>
          <t>S. Carpenter</t>
        </is>
      </c>
      <c r="B6" s="4" t="inlineStr">
        <is>
          <t>System Engineer / Architect</t>
        </is>
      </c>
      <c r="C6" s="4" t="inlineStr">
        <is>
          <t>Yes</t>
        </is>
      </c>
      <c r="D6" s="7" t="n">
        <v>145</v>
      </c>
    </row>
    <row r="7">
      <c r="A7" s="4" t="inlineStr">
        <is>
          <t>R. Daley</t>
        </is>
      </c>
      <c r="B7" s="4" t="inlineStr">
        <is>
          <t>Senior Forms (React/TypeScript) Developer</t>
        </is>
      </c>
      <c r="C7" s="4" t="inlineStr">
        <is>
          <t>Yes</t>
        </is>
      </c>
      <c r="D7" s="7" t="n">
        <v>145</v>
      </c>
    </row>
    <row r="8">
      <c r="A8" s="4" t="inlineStr">
        <is>
          <t>R. Chong</t>
        </is>
      </c>
      <c r="B8" s="4" t="inlineStr">
        <is>
          <t>Senior Java Developer / Senior Oracle DBA (dual role)</t>
        </is>
      </c>
      <c r="C8" s="4" t="inlineStr">
        <is>
          <t>Yes</t>
        </is>
      </c>
      <c r="D8" s="7" t="n">
        <v>145</v>
      </c>
    </row>
    <row r="9">
      <c r="A9" s="4" t="inlineStr">
        <is>
          <t>A. Frasier</t>
        </is>
      </c>
      <c r="B9" s="4" t="inlineStr">
        <is>
          <t>Associate Software Engineer</t>
        </is>
      </c>
      <c r="C9" s="4" t="inlineStr">
        <is>
          <t>No</t>
        </is>
      </c>
      <c r="D9" s="7" t="n">
        <v>90</v>
      </c>
    </row>
    <row r="10">
      <c r="A10" s="4" t="inlineStr">
        <is>
          <t>S. Chesky</t>
        </is>
      </c>
      <c r="B10" s="4" t="inlineStr">
        <is>
          <t>Associate Software Engineer</t>
        </is>
      </c>
      <c r="C10" s="4" t="inlineStr">
        <is>
          <t>No</t>
        </is>
      </c>
      <c r="D10" s="7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Level of Effort — hours per person per task (identical to Volume I, Factor 1, Table A-2)</t>
        </is>
      </c>
    </row>
    <row r="3">
      <c r="A3" s="3" t="inlineStr">
        <is>
          <t>CLIN</t>
        </is>
      </c>
      <c r="B3" s="3" t="inlineStr">
        <is>
          <t>Task</t>
        </is>
      </c>
      <c r="C3" s="3" t="inlineStr">
        <is>
          <t>Description</t>
        </is>
      </c>
      <c r="D3" s="3" t="inlineStr">
        <is>
          <t>Option</t>
        </is>
      </c>
      <c r="E3" s="3" t="inlineStr">
        <is>
          <t>J. Frasier</t>
        </is>
      </c>
      <c r="F3" s="3" t="inlineStr">
        <is>
          <t>S. Carpenter</t>
        </is>
      </c>
      <c r="G3" s="3" t="inlineStr">
        <is>
          <t>R. Daley</t>
        </is>
      </c>
      <c r="H3" s="3" t="inlineStr">
        <is>
          <t>R. Chong</t>
        </is>
      </c>
      <c r="I3" s="3" t="inlineStr">
        <is>
          <t>A. Frasier</t>
        </is>
      </c>
      <c r="J3" s="3" t="inlineStr">
        <is>
          <t>S. Chesky</t>
        </is>
      </c>
      <c r="K3" s="3" t="inlineStr">
        <is>
          <t>Total hours</t>
        </is>
      </c>
      <c r="L3" s="3" t="inlineStr">
        <is>
          <t>Task price</t>
        </is>
      </c>
    </row>
    <row r="4">
      <c r="A4" s="4" t="inlineStr">
        <is>
          <t>1001</t>
        </is>
      </c>
      <c r="B4" s="4" t="inlineStr">
        <is>
          <t>Task 1a</t>
        </is>
      </c>
      <c r="C4" s="4" t="inlineStr">
        <is>
          <t>Development meetings (26)</t>
        </is>
      </c>
      <c r="D4" s="4" t="inlineStr">
        <is>
          <t>No</t>
        </is>
      </c>
      <c r="E4" s="4" t="n">
        <v>78</v>
      </c>
      <c r="F4" s="4" t="n">
        <v>12</v>
      </c>
      <c r="G4" s="4" t="n">
        <v>12</v>
      </c>
      <c r="H4" s="4" t="n">
        <v>20</v>
      </c>
      <c r="I4" s="4" t="n">
        <v>0</v>
      </c>
      <c r="J4" s="4" t="n">
        <v>8</v>
      </c>
      <c r="K4" s="4">
        <f>SUM(E4:J4)</f>
        <v/>
      </c>
      <c r="L4" s="5">
        <f>E4*'Labor Rates'!$D$5+F4*'Labor Rates'!$D$6+G4*'Labor Rates'!$D$7+H4*'Labor Rates'!$D$8+I4*'Labor Rates'!$D$9+J4*'Labor Rates'!$D$10</f>
        <v/>
      </c>
    </row>
    <row r="5">
      <c r="A5" s="4" t="inlineStr">
        <is>
          <t>2001</t>
        </is>
      </c>
      <c r="B5" s="4" t="inlineStr">
        <is>
          <t>Task 2</t>
        </is>
      </c>
      <c r="C5" s="4" t="inlineStr">
        <is>
          <t>Improve authorization web UI and CDA integration</t>
        </is>
      </c>
      <c r="D5" s="4" t="inlineStr">
        <is>
          <t>No</t>
        </is>
      </c>
      <c r="E5" s="4" t="n">
        <v>50</v>
      </c>
      <c r="F5" s="4" t="n">
        <v>0</v>
      </c>
      <c r="G5" s="4" t="n">
        <v>220</v>
      </c>
      <c r="H5" s="4" t="n">
        <v>180</v>
      </c>
      <c r="I5" s="4" t="n">
        <v>100</v>
      </c>
      <c r="J5" s="4" t="n">
        <v>0</v>
      </c>
      <c r="K5" s="4">
        <f>SUM(E5:J5)</f>
        <v/>
      </c>
      <c r="L5" s="5">
        <f>E5*'Labor Rates'!$D$5+F5*'Labor Rates'!$D$6+G5*'Labor Rates'!$D$7+H5*'Labor Rates'!$D$8+I5*'Labor Rates'!$D$9+J5*'Labor Rates'!$D$10</f>
        <v/>
      </c>
    </row>
    <row r="6">
      <c r="A6" s="4" t="inlineStr">
        <is>
          <t>3001</t>
        </is>
      </c>
      <c r="B6" s="4" t="inlineStr">
        <is>
          <t>Task 3a</t>
        </is>
      </c>
      <c r="C6" s="4" t="inlineStr">
        <is>
          <t>Implement authorization in CWBI-Dev</t>
        </is>
      </c>
      <c r="D6" s="4" t="inlineStr">
        <is>
          <t>No</t>
        </is>
      </c>
      <c r="E6" s="4" t="n">
        <v>40</v>
      </c>
      <c r="F6" s="4" t="n">
        <v>120</v>
      </c>
      <c r="G6" s="4" t="n">
        <v>0</v>
      </c>
      <c r="H6" s="4" t="n">
        <v>40</v>
      </c>
      <c r="I6" s="4" t="n">
        <v>0</v>
      </c>
      <c r="J6" s="4" t="n">
        <v>0</v>
      </c>
      <c r="K6" s="4">
        <f>SUM(E6:J6)</f>
        <v/>
      </c>
      <c r="L6" s="5">
        <f>E6*'Labor Rates'!$D$5+F6*'Labor Rates'!$D$6+G6*'Labor Rates'!$D$7+H6*'Labor Rates'!$D$8+I6*'Labor Rates'!$D$9+J6*'Labor Rates'!$D$10</f>
        <v/>
      </c>
    </row>
    <row r="7">
      <c r="A7" s="4" t="inlineStr">
        <is>
          <t>5001</t>
        </is>
      </c>
      <c r="B7" s="4" t="inlineStr">
        <is>
          <t>Task 5a</t>
        </is>
      </c>
      <c r="C7" s="4" t="inlineStr">
        <is>
          <t>Maintenance (≤803 h)</t>
        </is>
      </c>
      <c r="D7" s="4" t="inlineStr">
        <is>
          <t>No</t>
        </is>
      </c>
      <c r="E7" s="4" t="n">
        <v>70</v>
      </c>
      <c r="F7" s="4" t="n">
        <v>0</v>
      </c>
      <c r="G7" s="4" t="n">
        <v>100</v>
      </c>
      <c r="H7" s="4" t="n">
        <v>210</v>
      </c>
      <c r="I7" s="4" t="n">
        <v>0</v>
      </c>
      <c r="J7" s="4" t="n">
        <v>400</v>
      </c>
      <c r="K7" s="4">
        <f>SUM(E7:J7)</f>
        <v/>
      </c>
      <c r="L7" s="5">
        <f>E7*'Labor Rates'!$D$5+F7*'Labor Rates'!$D$6+G7*'Labor Rates'!$D$7+H7*'Labor Rates'!$D$8+I7*'Labor Rates'!$D$9+J7*'Labor Rates'!$D$10</f>
        <v/>
      </c>
    </row>
    <row r="8">
      <c r="A8" s="4" t="inlineStr">
        <is>
          <t>1002</t>
        </is>
      </c>
      <c r="B8" s="4" t="inlineStr">
        <is>
          <t>Task 1b</t>
        </is>
      </c>
      <c r="C8" s="4" t="inlineStr">
        <is>
          <t>Development meetings, additional 26 (option)</t>
        </is>
      </c>
      <c r="D8" s="4" t="inlineStr">
        <is>
          <t>Yes</t>
        </is>
      </c>
      <c r="E8" s="4" t="n">
        <v>78</v>
      </c>
      <c r="F8" s="4" t="n">
        <v>12</v>
      </c>
      <c r="G8" s="4" t="n">
        <v>12</v>
      </c>
      <c r="H8" s="4" t="n">
        <v>20</v>
      </c>
      <c r="I8" s="4" t="n">
        <v>0</v>
      </c>
      <c r="J8" s="4" t="n">
        <v>8</v>
      </c>
      <c r="K8" s="4">
        <f>SUM(E8:J8)</f>
        <v/>
      </c>
      <c r="L8" s="5">
        <f>E8*'Labor Rates'!$D$5+F8*'Labor Rates'!$D$6+G8*'Labor Rates'!$D$7+H8*'Labor Rates'!$D$8+I8*'Labor Rates'!$D$9+J8*'Labor Rates'!$D$10</f>
        <v/>
      </c>
    </row>
    <row r="9">
      <c r="A9" s="4" t="inlineStr">
        <is>
          <t>3002</t>
        </is>
      </c>
      <c r="B9" s="4" t="inlineStr">
        <is>
          <t>Task 3b</t>
        </is>
      </c>
      <c r="C9" s="4" t="inlineStr">
        <is>
          <t>Implement authorization in CWBI-Test (option)</t>
        </is>
      </c>
      <c r="D9" s="4" t="inlineStr">
        <is>
          <t>Yes</t>
        </is>
      </c>
      <c r="E9" s="4" t="n">
        <v>20</v>
      </c>
      <c r="F9" s="4" t="n">
        <v>80</v>
      </c>
      <c r="G9" s="4" t="n">
        <v>0</v>
      </c>
      <c r="H9" s="4" t="n">
        <v>20</v>
      </c>
      <c r="I9" s="4" t="n">
        <v>0</v>
      </c>
      <c r="J9" s="4" t="n">
        <v>0</v>
      </c>
      <c r="K9" s="4">
        <f>SUM(E9:J9)</f>
        <v/>
      </c>
      <c r="L9" s="5">
        <f>E9*'Labor Rates'!$D$5+F9*'Labor Rates'!$D$6+G9*'Labor Rates'!$D$7+H9*'Labor Rates'!$D$8+I9*'Labor Rates'!$D$9+J9*'Labor Rates'!$D$10</f>
        <v/>
      </c>
    </row>
    <row r="10">
      <c r="A10" s="4" t="inlineStr">
        <is>
          <t>4001</t>
        </is>
      </c>
      <c r="B10" s="4" t="inlineStr">
        <is>
          <t>Task 4</t>
        </is>
      </c>
      <c r="C10" s="4" t="inlineStr">
        <is>
          <t>Load testing (option)</t>
        </is>
      </c>
      <c r="D10" s="4" t="inlineStr">
        <is>
          <t>Yes</t>
        </is>
      </c>
      <c r="E10" s="4" t="n">
        <v>20</v>
      </c>
      <c r="F10" s="4" t="n">
        <v>60</v>
      </c>
      <c r="G10" s="4" t="n">
        <v>0</v>
      </c>
      <c r="H10" s="4" t="n">
        <v>60</v>
      </c>
      <c r="I10" s="4" t="n">
        <v>0</v>
      </c>
      <c r="J10" s="4" t="n">
        <v>40</v>
      </c>
      <c r="K10" s="4">
        <f>SUM(E10:J10)</f>
        <v/>
      </c>
      <c r="L10" s="5">
        <f>E10*'Labor Rates'!$D$5+F10*'Labor Rates'!$D$6+G10*'Labor Rates'!$D$7+H10*'Labor Rates'!$D$8+I10*'Labor Rates'!$D$9+J10*'Labor Rates'!$D$10</f>
        <v/>
      </c>
    </row>
    <row r="11">
      <c r="A11" s="4" t="inlineStr">
        <is>
          <t>5002</t>
        </is>
      </c>
      <c r="B11" s="4" t="inlineStr">
        <is>
          <t>Task 5b</t>
        </is>
      </c>
      <c r="C11" s="4" t="inlineStr">
        <is>
          <t>Maintenance (≤704 h) (option)</t>
        </is>
      </c>
      <c r="D11" s="4" t="inlineStr">
        <is>
          <t>Yes</t>
        </is>
      </c>
      <c r="E11" s="4" t="n">
        <v>60</v>
      </c>
      <c r="F11" s="4" t="n">
        <v>0</v>
      </c>
      <c r="G11" s="4" t="n">
        <v>90</v>
      </c>
      <c r="H11" s="4" t="n">
        <v>180</v>
      </c>
      <c r="I11" s="4" t="n">
        <v>0</v>
      </c>
      <c r="J11" s="4" t="n">
        <v>350</v>
      </c>
      <c r="K11" s="4">
        <f>SUM(E11:J11)</f>
        <v/>
      </c>
      <c r="L11" s="5">
        <f>E11*'Labor Rates'!$D$5+F11*'Labor Rates'!$D$6+G11*'Labor Rates'!$D$7+H11*'Labor Rates'!$D$8+I11*'Labor Rates'!$D$9+J11*'Labor Rates'!$D$10</f>
        <v/>
      </c>
    </row>
    <row r="12">
      <c r="A12" s="3" t="n"/>
      <c r="B12" s="3" t="n"/>
      <c r="C12" s="3" t="inlineStr">
        <is>
          <t>Total — base and all options</t>
        </is>
      </c>
      <c r="D12" s="3" t="n"/>
      <c r="E12" s="3">
        <f>SUM(E4:E11)</f>
        <v/>
      </c>
      <c r="F12" s="3">
        <f>SUM(F4:F11)</f>
        <v/>
      </c>
      <c r="G12" s="3">
        <f>SUM(G4:G11)</f>
        <v/>
      </c>
      <c r="H12" s="3">
        <f>SUM(H4:H11)</f>
        <v/>
      </c>
      <c r="I12" s="3">
        <f>SUM(I4:I11)</f>
        <v/>
      </c>
      <c r="J12" s="3">
        <f>SUM(J4:J11)</f>
        <v/>
      </c>
      <c r="K12" s="3">
        <f>SUM(K4:K11)</f>
        <v/>
      </c>
      <c r="L12" s="6">
        <f>SUM(L4:L11)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2026-09-02T16:48:50Z</dcterms:created>
  <dcterms:modified xmlns:dcterms="http://purl.org/dc/terms/" xmlns:xsi="http://www.w3.org/2001/XMLSchema-instance" xsi:type="dcterms:W3CDTF">2026-09-02T16:48:50Z</dcterms:modified>
</cp:coreProperties>
</file>