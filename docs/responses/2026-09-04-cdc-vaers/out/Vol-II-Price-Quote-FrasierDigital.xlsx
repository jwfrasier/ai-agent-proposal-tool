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 Summary" sheetId="1" state="visible" r:id="rId1"/>
    <sheet xmlns:r="http://schemas.openxmlformats.org/officeDocument/2006/relationships" name="CLIN 0001 Itemization" sheetId="2" state="visible" r:id="rId2"/>
    <sheet xmlns:r="http://schemas.openxmlformats.org/officeDocument/2006/relationships" name="ODCs and IT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3" fontId="3" fillId="2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0" customWidth="1" min="3" max="3"/>
    <col width="14" customWidth="1" min="4" max="4"/>
  </cols>
  <sheetData>
    <row r="1">
      <c r="A1" s="1" t="inlineStr">
        <is>
          <t>Frasier Digital, LLC — Price Quote</t>
        </is>
      </c>
    </row>
    <row r="2">
      <c r="A2" s="2" t="inlineStr">
        <is>
          <t>RFQ 75D301-26-Q-00146 — Modernized VAERS Reporting Application</t>
        </is>
      </c>
    </row>
    <row r="3">
      <c r="A3" s="2" t="inlineStr">
        <is>
          <t>Firm-Fixed-Price · Period of Performance 9/28/2026–6/27/2027 (9 months) · Payment monthly in arrears</t>
        </is>
      </c>
    </row>
    <row r="5">
      <c r="A5" s="3" t="inlineStr">
        <is>
          <t>CLIN</t>
        </is>
      </c>
      <c r="B5" s="3" t="inlineStr">
        <is>
          <t>Description</t>
        </is>
      </c>
      <c r="C5" s="3" t="inlineStr">
        <is>
          <t>Type</t>
        </is>
      </c>
      <c r="D5" s="3" t="inlineStr">
        <is>
          <t>Price</t>
        </is>
      </c>
    </row>
    <row r="6">
      <c r="A6" s="4" t="inlineStr">
        <is>
          <t>0001</t>
        </is>
      </c>
      <c r="B6" s="4" t="inlineStr">
        <is>
          <t>Design, development, deployment, and compliance delivery of the Modernized VAERS Reporting Application per the PWS (nonseverable services per Amendment 0001)</t>
        </is>
      </c>
      <c r="C6" s="4" t="inlineStr">
        <is>
          <t>FFP</t>
        </is>
      </c>
      <c r="D6" s="5">
        <f>'CLIN 0001 Itemization'!E14</f>
        <v/>
      </c>
    </row>
    <row r="7">
      <c r="A7" s="4" t="inlineStr">
        <is>
          <t>0002</t>
        </is>
      </c>
      <c r="B7" s="4" t="inlineStr">
        <is>
          <t>Travel — onboarding (direct reimbursement per FTR, no fee)</t>
        </is>
      </c>
      <c r="C7" s="4" t="inlineStr">
        <is>
          <t>NTE</t>
        </is>
      </c>
      <c r="D7" s="5" t="n">
        <v>31500</v>
      </c>
    </row>
    <row r="8">
      <c r="A8" s="4" t="inlineStr">
        <is>
          <t>0003</t>
        </is>
      </c>
      <c r="B8" s="4" t="inlineStr">
        <is>
          <t>Travel — meetings (direct reimbursement per FTR, no fee)</t>
        </is>
      </c>
      <c r="C8" s="4" t="inlineStr">
        <is>
          <t>NTE</t>
        </is>
      </c>
      <c r="D8" s="5" t="n">
        <v>31500</v>
      </c>
    </row>
    <row r="9">
      <c r="A9" s="3" t="n"/>
      <c r="B9" s="3" t="inlineStr">
        <is>
          <t>Total (CLIN 0001 + travel NTE ceilings)</t>
        </is>
      </c>
      <c r="C9" s="3" t="n"/>
      <c r="D9" s="6">
        <f>SUM(D6:D8)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22" customWidth="1" min="4" max="4"/>
    <col width="16" customWidth="1" min="5" max="5"/>
  </cols>
  <sheetData>
    <row r="1">
      <c r="A1" s="1" t="inlineStr">
        <is>
          <t>CLIN 0001 — Labor Itemization (Firm-Fixed-Price)</t>
        </is>
      </c>
    </row>
    <row r="2">
      <c r="A2" s="2" t="inlineStr">
        <is>
          <t>Fully burdened firm-fixed billing rates; hours reconcile with the staffing commitments in Volume I, Tab 3-1.</t>
        </is>
      </c>
    </row>
    <row r="4">
      <c r="A4" s="3" t="inlineStr">
        <is>
          <t>Labor Category</t>
        </is>
      </c>
      <c r="B4" s="3" t="inlineStr">
        <is>
          <t>Designation</t>
        </is>
      </c>
      <c r="C4" s="3" t="inlineStr">
        <is>
          <t>Hours</t>
        </is>
      </c>
      <c r="D4" s="3" t="inlineStr">
        <is>
          <t>Fully Burdened Rate ($/hr)</t>
        </is>
      </c>
      <c r="E4" s="3" t="inlineStr">
        <is>
          <t>Extended Price</t>
        </is>
      </c>
    </row>
    <row r="5">
      <c r="A5" s="4" t="inlineStr">
        <is>
          <t>Program Manager / Lead Architect</t>
        </is>
      </c>
      <c r="B5" s="4" t="inlineStr">
        <is>
          <t>Key Personnel</t>
        </is>
      </c>
      <c r="C5" s="4" t="n">
        <v>546</v>
      </c>
      <c r="D5" s="7" t="n">
        <v>235</v>
      </c>
      <c r="E5" s="5">
        <f>C5*D5</f>
        <v/>
      </c>
    </row>
    <row r="6">
      <c r="A6" s="4" t="inlineStr">
        <is>
          <t>Security &amp; Compliance Lead (SA&amp;A / ATD / EPLC artifacts)</t>
        </is>
      </c>
      <c r="B6" s="4" t="inlineStr">
        <is>
          <t>Key Personnel (dual role)</t>
        </is>
      </c>
      <c r="C6" s="4" t="n">
        <v>340</v>
      </c>
      <c r="D6" s="7" t="n">
        <v>235</v>
      </c>
      <c r="E6" s="5">
        <f>C6*D6</f>
        <v/>
      </c>
    </row>
    <row r="7">
      <c r="A7" s="4" t="inlineStr">
        <is>
          <t>Technical Lead — Healthcare IT</t>
        </is>
      </c>
      <c r="B7" s="4" t="inlineStr">
        <is>
          <t>Key Personnel</t>
        </is>
      </c>
      <c r="C7" s="4" t="n">
        <v>390</v>
      </c>
      <c r="D7" s="7" t="n">
        <v>205</v>
      </c>
      <c r="E7" s="5">
        <f>C7*D7</f>
        <v/>
      </c>
    </row>
    <row r="8">
      <c r="A8" s="4" t="inlineStr">
        <is>
          <t>Integration &amp; Data Engineer</t>
        </is>
      </c>
      <c r="B8" s="4" t="inlineStr"/>
      <c r="C8" s="4" t="n">
        <v>234</v>
      </c>
      <c r="D8" s="7" t="n">
        <v>175</v>
      </c>
      <c r="E8" s="5">
        <f>C8*D8</f>
        <v/>
      </c>
    </row>
    <row r="9">
      <c r="A9" s="4" t="inlineStr">
        <is>
          <t>Frontend Engineer / Test Automation</t>
        </is>
      </c>
      <c r="B9" s="4" t="inlineStr"/>
      <c r="C9" s="4" t="n">
        <v>780</v>
      </c>
      <c r="D9" s="7" t="n">
        <v>135</v>
      </c>
      <c r="E9" s="5">
        <f>C9*D9</f>
        <v/>
      </c>
    </row>
    <row r="10">
      <c r="A10" s="4" t="inlineStr">
        <is>
          <t>QA &amp; Accessibility Engineer</t>
        </is>
      </c>
      <c r="B10" s="4" t="inlineStr"/>
      <c r="C10" s="4" t="n">
        <v>300</v>
      </c>
      <c r="D10" s="7" t="n">
        <v>135</v>
      </c>
      <c r="E10" s="5">
        <f>C10*D10</f>
        <v/>
      </c>
    </row>
    <row r="11">
      <c r="A11" s="4" t="inlineStr">
        <is>
          <t>Content &amp; UX Research Specialist</t>
        </is>
      </c>
      <c r="B11" s="4" t="inlineStr"/>
      <c r="C11" s="4" t="n">
        <v>190</v>
      </c>
      <c r="D11" s="7" t="n">
        <v>105</v>
      </c>
      <c r="E11" s="5">
        <f>C11*D11</f>
        <v/>
      </c>
    </row>
    <row r="12">
      <c r="A12" s="3" t="inlineStr">
        <is>
          <t>Subtotal</t>
        </is>
      </c>
      <c r="B12" s="3" t="n"/>
      <c r="C12" s="3">
        <f>SUM(C5:C11)</f>
        <v/>
      </c>
      <c r="D12" s="3" t="n"/>
      <c r="E12" s="6">
        <f>SUM(E5:E11)</f>
        <v/>
      </c>
    </row>
    <row r="13">
      <c r="A13" s="4" t="inlineStr">
        <is>
          <t>Firm-fixed-price adjustment (rounding to CLIN price)</t>
        </is>
      </c>
      <c r="B13" s="4" t="n"/>
      <c r="C13" s="4" t="n"/>
      <c r="D13" s="4" t="n"/>
      <c r="E13" s="5">
        <f>E14-E12</f>
        <v/>
      </c>
    </row>
    <row r="14">
      <c r="A14" s="3" t="inlineStr">
        <is>
          <t>CLIN 0001 FIRM FIXED PRICE</t>
        </is>
      </c>
      <c r="B14" s="3" t="n"/>
      <c r="C14" s="3" t="n"/>
      <c r="D14" s="3" t="n"/>
      <c r="E14" s="6" t="n">
        <v>495000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12" customWidth="1" min="3" max="3"/>
  </cols>
  <sheetData>
    <row r="1">
      <c r="A1" s="1" t="inlineStr">
        <is>
          <t>Other Direct Costs and Separately Priced IT Supplies / Services</t>
        </is>
      </c>
    </row>
    <row r="3">
      <c r="A3" s="3" t="inlineStr">
        <is>
          <t>Item</t>
        </is>
      </c>
      <c r="B3" s="3" t="inlineStr">
        <is>
          <t>Basis</t>
        </is>
      </c>
      <c r="C3" s="3" t="inlineStr">
        <is>
          <t>Price</t>
        </is>
      </c>
    </row>
    <row r="4">
      <c r="A4" s="4" t="inlineStr">
        <is>
          <t>Software licenses, subscriptions, IT supplies</t>
        </is>
      </c>
      <c r="B4" s="4" t="inlineStr">
        <is>
          <t>None required — all custom code delivered with Government rights per FAR 52.227-17 (Amendment 0001 Q&amp;A 91); development on contractor equipment; laptops and PIV cards are Government-furnished</t>
        </is>
      </c>
      <c r="C4" s="5" t="n">
        <v>0</v>
      </c>
    </row>
    <row r="5">
      <c r="A5" s="4" t="inlineStr">
        <is>
          <t>Cloud hosting and AI services</t>
        </is>
      </c>
      <c r="B5" s="4" t="inlineStr">
        <is>
          <t>None required — CDC-managed Azure environment and CDC enterprise Azure OpenAI (EDAV) are Government-furnished</t>
        </is>
      </c>
      <c r="C5" s="5" t="n">
        <v>0</v>
      </c>
    </row>
    <row r="6">
      <c r="A6" s="4" t="inlineStr">
        <is>
          <t>Other direct costs (excluding travel CLINs 0002/0003)</t>
        </is>
      </c>
      <c r="B6" s="4" t="inlineStr">
        <is>
          <t>None</t>
        </is>
      </c>
      <c r="C6" s="5" t="n">
        <v>0</v>
      </c>
    </row>
    <row r="7">
      <c r="A7" s="3" t="inlineStr">
        <is>
          <t>Total ODCs</t>
        </is>
      </c>
      <c r="B7" s="3" t="n"/>
      <c r="C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2026-09-03T17:57:35Z</dcterms:created>
  <dcterms:modified xmlns:dcterms="http://purl.org/dc/terms/" xmlns:xsi="http://www.w3.org/2001/XMLSchema-instance" xsi:type="dcterms:W3CDTF">2026-09-03T17:57:35Z</dcterms:modified>
</cp:coreProperties>
</file>